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Instructions" sheetId="1" state="visible" r:id="rId1"/>
    <sheet name="Annotation" sheetId="2" state="visible" r:id="rId2"/>
  </sheets>
  <definedNames>
    <definedName name="_xlnm.Print_Titles" localSheetId="1">'Annotation'!$11:$11</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
      <family val="0"/>
      <b val="1"/>
      <color rgb="FF005030"/>
      <sz val="17"/>
    </font>
    <font>
      <name val="Arial"/>
      <charset val="1"/>
      <family val="0"/>
      <color rgb="FF666666"/>
      <sz val="11"/>
    </font>
    <font>
      <name val="Arial"/>
      <charset val="1"/>
      <family val="0"/>
      <sz val="10"/>
    </font>
    <font>
      <name val="Arial"/>
      <charset val="1"/>
      <family val="0"/>
      <b val="1"/>
      <color rgb="FFF47321"/>
      <sz val="11"/>
    </font>
    <font>
      <name val="Arial"/>
      <charset val="1"/>
      <family val="0"/>
      <i val="1"/>
      <color rgb="FF666666"/>
      <sz val="10"/>
    </font>
    <font>
      <name val="Arial"/>
      <charset val="1"/>
      <family val="0"/>
      <b val="1"/>
      <color rgb="FFFFFFFF"/>
      <sz val="9"/>
    </font>
    <font>
      <name val="Arial"/>
      <charset val="1"/>
      <family val="0"/>
      <i val="1"/>
      <color rgb="FF444444"/>
      <sz val="9"/>
    </font>
    <font>
      <name val="Arial"/>
      <charset val="1"/>
      <family val="0"/>
      <b val="1"/>
      <color rgb="FF005030"/>
      <sz val="15"/>
    </font>
    <font>
      <name val="Arial"/>
      <charset val="1"/>
      <family val="0"/>
      <i val="1"/>
      <color rgb="FF666666"/>
      <sz val="9"/>
    </font>
    <font>
      <name val="Arial"/>
      <charset val="1"/>
      <family val="0"/>
      <b val="1"/>
      <sz val="10"/>
    </font>
    <font>
      <name val="Arial"/>
      <charset val="1"/>
      <family val="0"/>
      <b val="1"/>
      <color rgb="FFF47321"/>
      <sz val="10"/>
    </font>
    <font>
      <name val="Arial"/>
      <charset val="1"/>
      <family val="0"/>
      <color rgb="FF666666"/>
      <sz val="8"/>
    </font>
    <font>
      <name val="Arial"/>
      <charset val="1"/>
      <family val="0"/>
      <b val="1"/>
      <sz val="11"/>
    </font>
    <font>
      <name val="Arial"/>
      <charset val="1"/>
      <family val="0"/>
      <b val="1"/>
      <color rgb="FFFFFFFF"/>
      <sz val="10"/>
    </font>
    <font>
      <name val="Arial"/>
      <charset val="1"/>
      <family val="0"/>
      <b val="1"/>
      <color rgb="FF005030"/>
      <sz val="10"/>
    </font>
  </fonts>
  <fills count="5">
    <fill>
      <patternFill/>
    </fill>
    <fill>
      <patternFill patternType="gray125"/>
    </fill>
    <fill>
      <patternFill patternType="solid">
        <fgColor rgb="FF005030"/>
        <bgColor rgb="FF003366"/>
      </patternFill>
    </fill>
    <fill>
      <patternFill patternType="solid">
        <fgColor rgb="FFFFFBEF"/>
        <bgColor rgb="FFFFFFFF"/>
      </patternFill>
    </fill>
    <fill>
      <patternFill patternType="solid">
        <fgColor rgb="FFEDF2F0"/>
        <bgColor rgb="FFFFFBEF"/>
      </patternFill>
    </fill>
  </fills>
  <borders count="6">
    <border>
      <left/>
      <right/>
      <top/>
      <bottom/>
      <diagonal/>
    </border>
    <border>
      <left style="thin">
        <color rgb="FFD0D0D0"/>
      </left>
      <right style="thin">
        <color rgb="FFD0D0D0"/>
      </right>
      <top style="thin">
        <color rgb="FFD0D0D0"/>
      </top>
      <bottom style="thin">
        <color rgb="FFD0D0D0"/>
      </bottom>
      <diagonal/>
    </border>
    <border>
      <left/>
      <right/>
      <top style="thin">
        <color rgb="FFD0D0D0"/>
      </top>
      <bottom/>
      <diagonal/>
    </border>
    <border>
      <left/>
      <right style="thin">
        <color rgb="FFD0D0D0"/>
      </right>
      <top style="thin">
        <color rgb="FFD0D0D0"/>
      </top>
      <bottom/>
      <diagonal/>
    </border>
    <border>
      <left/>
      <right/>
      <top style="thin">
        <color rgb="FFD0D0D0"/>
      </top>
      <bottom style="thin">
        <color rgb="FFD0D0D0"/>
      </bottom>
      <diagonal/>
    </border>
    <border>
      <left/>
      <right style="thin">
        <color rgb="FFD0D0D0"/>
      </right>
      <top style="thin">
        <color rgb="FFD0D0D0"/>
      </top>
      <bottom style="thin">
        <color rgb="FFD0D0D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9">
    <xf numFmtId="0" fontId="0" fillId="0" borderId="0" applyAlignment="1" pivotButton="0" quotePrefix="0" xfId="0">
      <alignment horizontal="general" vertical="bottom"/>
    </xf>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0" borderId="0" applyAlignment="1" pivotButton="0" quotePrefix="0" xfId="0">
      <alignment horizontal="general" vertical="center"/>
    </xf>
    <xf numFmtId="0" fontId="8" fillId="0" borderId="0" applyAlignment="1" pivotButton="0" quotePrefix="0" xfId="0">
      <alignment horizontal="general" vertical="center"/>
    </xf>
    <xf numFmtId="0" fontId="9" fillId="2" borderId="1" applyAlignment="1" pivotButton="0" quotePrefix="0" xfId="0">
      <alignment horizontal="general" vertical="center" wrapText="1"/>
    </xf>
    <xf numFmtId="0" fontId="10" fillId="0"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6" fillId="0" borderId="0" applyAlignment="1" pivotButton="0" quotePrefix="0" xfId="0">
      <alignment horizontal="general" vertical="bottom"/>
    </xf>
    <xf numFmtId="0" fontId="6" fillId="3" borderId="1" applyAlignment="1" pivotButton="0" quotePrefix="0" xfId="0">
      <alignment horizontal="general" vertical="bottom"/>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left" vertical="bottom"/>
    </xf>
    <xf numFmtId="0" fontId="17" fillId="2" borderId="1" applyAlignment="1" pivotButton="0" quotePrefix="0" xfId="0">
      <alignment horizontal="general" vertical="center" wrapText="1"/>
    </xf>
    <xf numFmtId="0" fontId="18" fillId="4" borderId="0" applyAlignment="1" pivotButton="0" quotePrefix="0" xfId="0">
      <alignment horizontal="general" vertical="bottom"/>
    </xf>
    <xf numFmtId="0" fontId="12" fillId="4" borderId="0" applyAlignment="1" pivotButton="0" quotePrefix="0" xfId="0">
      <alignment horizontal="general" vertical="bottom"/>
    </xf>
    <xf numFmtId="0" fontId="0" fillId="4"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center"/>
    </xf>
    <xf numFmtId="0" fontId="5" fillId="0" borderId="0" applyAlignment="1" pivotButton="0" quotePrefix="0" xfId="0">
      <alignment horizontal="general" vertical="center"/>
    </xf>
    <xf numFmtId="0" fontId="6" fillId="0" borderId="0" applyAlignment="1" pivotButton="0" quotePrefix="0" xfId="0">
      <alignment horizontal="general" vertical="center"/>
    </xf>
    <xf numFmtId="0" fontId="7" fillId="0" borderId="0" applyAlignment="1" pivotButton="0" quotePrefix="0" xfId="0">
      <alignment horizontal="general" vertical="center"/>
    </xf>
    <xf numFmtId="0" fontId="8" fillId="0" borderId="0" applyAlignment="1" pivotButton="0" quotePrefix="0" xfId="0">
      <alignment horizontal="general" vertical="center"/>
    </xf>
    <xf numFmtId="0" fontId="9" fillId="2" borderId="1" applyAlignment="1" pivotButton="0" quotePrefix="0" xfId="0">
      <alignment horizontal="general" vertical="center" wrapText="1"/>
    </xf>
    <xf numFmtId="0" fontId="10" fillId="0" borderId="1" applyAlignment="1" pivotButton="0" quotePrefix="0" xfId="0">
      <alignment horizontal="general" vertical="top" wrapText="1"/>
    </xf>
    <xf numFmtId="0" fontId="11" fillId="0" borderId="0" applyAlignment="1" pivotButton="0" quotePrefix="0" xfId="0">
      <alignment horizontal="general" vertical="bottom"/>
    </xf>
    <xf numFmtId="0" fontId="12" fillId="0" borderId="0" applyAlignment="1" pivotButton="0" quotePrefix="0" xfId="0">
      <alignment horizontal="general" vertical="bottom"/>
    </xf>
    <xf numFmtId="0" fontId="13" fillId="0" borderId="0" applyAlignment="1" pivotButton="0" quotePrefix="0" xfId="0">
      <alignment horizontal="general" vertical="bottom"/>
    </xf>
    <xf numFmtId="0" fontId="6" fillId="0" borderId="0" applyAlignment="1" pivotButton="0" quotePrefix="0" xfId="0">
      <alignment horizontal="general" vertical="bottom"/>
    </xf>
    <xf numFmtId="0" fontId="6" fillId="3" borderId="1" applyAlignment="1" pivotButton="0" quotePrefix="0" xfId="0">
      <alignment horizontal="general" vertical="bottom"/>
    </xf>
    <xf numFmtId="0" fontId="0" fillId="0" borderId="4" pivotButton="0" quotePrefix="0" xfId="0"/>
    <xf numFmtId="0" fontId="0" fillId="0" borderId="5" pivotButton="0" quotePrefix="0" xfId="0"/>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16" fillId="0" borderId="0" applyAlignment="1" pivotButton="0" quotePrefix="0" xfId="0">
      <alignment horizontal="left" vertical="bottom"/>
    </xf>
    <xf numFmtId="0" fontId="17" fillId="2" borderId="1" applyAlignment="1" pivotButton="0" quotePrefix="0" xfId="0">
      <alignment horizontal="general" vertical="center" wrapText="1"/>
    </xf>
    <xf numFmtId="0" fontId="18" fillId="4" borderId="0" applyAlignment="1" pivotButton="0" quotePrefix="0" xfId="0">
      <alignment horizontal="general" vertical="bottom"/>
    </xf>
    <xf numFmtId="0" fontId="12" fillId="4" borderId="0" applyAlignment="1" pivotButton="0" quotePrefix="0" xfId="0">
      <alignment horizontal="general" vertical="bottom"/>
    </xf>
    <xf numFmtId="0" fontId="0" fillId="4" borderId="0" applyAlignment="1" pivotButton="0" quotePrefix="0" xfId="0">
      <alignment horizontal="general" vertical="bottom"/>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BEF"/>
      <rgbColor rgb="FFEDF2F0"/>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47321"/>
      <rgbColor rgb="FF666666"/>
      <rgbColor rgb="FF969696"/>
      <rgbColor rgb="FF003366"/>
      <rgbColor rgb="FF339966"/>
      <rgbColor rgb="FF005030"/>
      <rgbColor rgb="FF333300"/>
      <rgbColor rgb="FF993300"/>
      <rgbColor rgb="FF993366"/>
      <rgbColor rgb="FF333399"/>
      <rgbColor rgb="FF44444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A1:E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6" customWidth="1" style="22" min="1" max="1"/>
    <col width="34" customWidth="1" style="22" min="2" max="2"/>
    <col width="26" customWidth="1" style="22" min="3" max="3"/>
    <col width="22" customWidth="1" style="22" min="4" max="4"/>
    <col width="44" customWidth="1" style="22" min="5" max="5"/>
  </cols>
  <sheetData>
    <row r="1" ht="24" customHeight="1" s="23">
      <c r="A1" s="24" t="inlineStr">
        <is>
          <t>MiLA — AI Gift Administration Assistant</t>
        </is>
      </c>
    </row>
    <row r="2" ht="15.75" customHeight="1" s="23">
      <c r="A2" s="25" t="inlineStr">
        <is>
          <t>Document Annotation Sheet · v0</t>
        </is>
      </c>
    </row>
    <row r="3" ht="7.5" customHeight="1" s="23">
      <c r="A3" s="26" t="n"/>
    </row>
    <row r="4" ht="15.75" customHeight="1" s="23">
      <c r="A4" s="27" t="inlineStr">
        <is>
          <t>What this is</t>
        </is>
      </c>
    </row>
    <row r="5" ht="15.75" customHeight="1" s="23">
      <c r="A5" s="26" t="inlineStr">
        <is>
          <t>A draft template — my first guess at the right structure, not a finished form. Fill it in for the assigned document, and where it fails you, change it:</t>
        </is>
      </c>
    </row>
    <row r="6" ht="15.75" customHeight="1" s="23">
      <c r="A6" s="26" t="inlineStr">
        <is>
          <t>add rows, add fields, split things apart. Your edits become the first draft of the real template we use for the rest of the corpus — so mark them clearly.</t>
        </is>
      </c>
    </row>
    <row r="7" ht="7.5" customHeight="1" s="23">
      <c r="A7" s="26" t="n"/>
    </row>
    <row r="8" ht="15.75" customHeight="1" s="23">
      <c r="A8" s="27" t="inlineStr">
        <is>
          <t>How to use it</t>
        </is>
      </c>
    </row>
    <row r="9" ht="15.75" customHeight="1" s="23">
      <c r="A9" s="26" t="inlineStr">
        <is>
          <t>1.  Save your own copy with your name in the filename. Work alone — do not compare notes with the other annotator before submitting.</t>
        </is>
      </c>
    </row>
    <row r="10" ht="15.75" customHeight="1" s="23">
      <c r="A10" s="26" t="inlineStr">
        <is>
          <t>2.  Fill in the header block on the Annotation tab: your name, the date, and roughly how many hours it took.</t>
        </is>
      </c>
    </row>
    <row r="11" ht="15.75" customHeight="1" s="23">
      <c r="A11" s="26" t="inlineStr">
        <is>
          <t>3.  Work through sections 1–5. The shaded cells are yours to fill in.</t>
        </is>
      </c>
    </row>
    <row r="12" ht="15.75" customHeight="1" s="23">
      <c r="A12" s="26" t="inlineStr">
        <is>
          <t>4.  Set the Status for every row in sections 1–5. Never guess in order to fill a blank — that is what “Could not determine” is for.</t>
        </is>
      </c>
    </row>
    <row r="13" ht="15.75" customHeight="1" s="23">
      <c r="A13" s="26" t="inlineStr">
        <is>
          <t>5.  Then use sections 6–9. They matter as much as the annotation itself.</t>
        </is>
      </c>
    </row>
    <row r="14" ht="7.5" customHeight="1" s="23">
      <c r="A14" s="26" t="n"/>
    </row>
    <row r="15" ht="15.75" customHeight="1" s="23">
      <c r="A15" s="27" t="inlineStr">
        <is>
          <t>The Status column</t>
        </is>
      </c>
    </row>
    <row r="16" ht="15.75" customHeight="1" s="23">
      <c r="A16" s="26" t="inlineStr">
        <is>
          <t>Found — the document answers this. The answer goes in column B, its citation in column C.</t>
        </is>
      </c>
    </row>
    <row r="17" ht="15.75" customHeight="1" s="23">
      <c r="A17" s="26" t="inlineStr">
        <is>
          <t>Not in this document — the document genuinely does not address this. That is a real finding, not a gap in your work.</t>
        </is>
      </c>
    </row>
    <row r="18" ht="15.75" customHeight="1" s="23">
      <c r="A18" s="26" t="inlineStr">
        <is>
          <t>Could not determine — it may be here but you could not establish it (unreadable scan, a missing referenced instrument, unclear drafting). Say why.</t>
        </is>
      </c>
    </row>
    <row r="19" ht="15.75" customHeight="1" s="23">
      <c r="A19" s="26" t="inlineStr">
        <is>
          <t>Ambiguous — see note — more than one defensible reading. Give both in the note. These are the most valuable rows in the sheet.</t>
        </is>
      </c>
    </row>
    <row r="20" ht="7.5" customHeight="1" s="23">
      <c r="A20" s="26" t="n"/>
    </row>
    <row r="21" ht="15.75" customHeight="1" s="23">
      <c r="A21" s="27" t="inlineStr">
        <is>
          <t>Example of the expected format</t>
        </is>
      </c>
    </row>
    <row r="22" ht="15.75" customHeight="1" s="23">
      <c r="A22" s="28" t="inlineStr">
        <is>
          <t>Fictional, for format only — not from any document in the folder.</t>
        </is>
      </c>
    </row>
    <row r="23" ht="7.5" customHeight="1" s="23">
      <c r="A23" s="26" t="n"/>
    </row>
    <row r="24" ht="15" customHeight="1" s="23">
      <c r="A24" s="29" t="inlineStr">
        <is>
          <t>Item</t>
        </is>
      </c>
      <c r="B24" s="29" t="inlineStr">
        <is>
          <t>Answer / finding</t>
        </is>
      </c>
      <c r="C24" s="29" t="inlineStr">
        <is>
          <t>Where (article / section / page)</t>
        </is>
      </c>
      <c r="D24" s="29" t="inlineStr">
        <is>
          <t>Status</t>
        </is>
      </c>
      <c r="E24" s="29" t="inlineStr">
        <is>
          <t>Judgment call or note</t>
        </is>
      </c>
    </row>
    <row r="25" ht="30" customHeight="1" s="23">
      <c r="A25" s="30" t="inlineStr">
        <is>
          <t>What UM is designated to receive</t>
        </is>
      </c>
      <c r="B25" s="30" t="inlineStr">
        <is>
          <t>25% of the residue of the trust estate</t>
        </is>
      </c>
      <c r="C25" s="30" t="inlineStr">
        <is>
          <t>Art. IV, Sec. 2(b), p. 11</t>
        </is>
      </c>
      <c r="D25" s="30" t="inlineStr">
        <is>
          <t>Found</t>
        </is>
      </c>
      <c r="E25" s="30" t="inlineStr">
        <is>
          <t>Percentage is of the residue after two pecuniary gifts in Sec. 2(a) — read as net, not gross.</t>
        </is>
      </c>
    </row>
    <row r="26" ht="30" customHeight="1" s="23">
      <c r="A26" s="30" t="inlineStr">
        <is>
          <t>Trustee contact details</t>
        </is>
      </c>
      <c r="B26" s="30" t="n"/>
      <c r="C26" s="30" t="inlineStr">
        <is>
          <t>—</t>
        </is>
      </c>
      <c r="D26" s="30" t="inlineStr">
        <is>
          <t>Not in this document</t>
        </is>
      </c>
      <c r="E26" s="30" t="inlineStr">
        <is>
          <t>No address or phone for the successor trustee anywhere in the instrument.</t>
        </is>
      </c>
    </row>
  </sheetData>
  <printOptions horizontalCentered="1"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F89"/>
  <sheetViews>
    <sheetView showFormulas="0" showGridLines="0" showRowColHeaders="1" showZeros="1" rightToLeft="0" tabSelected="0" showOutlineSymbols="1" defaultGridColor="1" view="normal" topLeftCell="A1" colorId="64" zoomScale="100" zoomScaleNormal="100" zoomScalePageLayoutView="100" workbookViewId="0">
      <pane xSplit="0" ySplit="11" topLeftCell="A1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52" customWidth="1" style="22" min="1" max="1"/>
    <col width="44" customWidth="1" style="22" min="2" max="2"/>
    <col width="26" customWidth="1" style="22" min="3" max="3"/>
    <col width="24" customWidth="1" style="22" min="4" max="4"/>
    <col width="46" customWidth="1" style="22" min="5" max="5"/>
  </cols>
  <sheetData>
    <row r="1" ht="18.55" customHeight="1" s="23">
      <c r="A1" s="31" t="inlineStr">
        <is>
          <t>Document Annotation Sheet — v0</t>
        </is>
      </c>
    </row>
    <row r="2" ht="15" customHeight="1" s="23">
      <c r="A2" s="32" t="inlineStr">
        <is>
          <t>Categories 1–5 follow the client's output specification. Sections 6–9 are where everything the specification has no room for goes.</t>
        </is>
      </c>
    </row>
    <row r="4" ht="15" customHeight="1" s="23">
      <c r="A4" s="33" t="inlineStr">
        <is>
          <t>Document</t>
        </is>
      </c>
      <c r="B4" s="34" t="inlineStr">
        <is>
          <t>Herrold Interim Trust — 5th Amendment (Fifth Amendment to the Herrold Living Trust, 2017)</t>
        </is>
      </c>
    </row>
    <row r="5" ht="15" customHeight="1" s="23">
      <c r="A5" s="33" t="inlineStr">
        <is>
          <t>Annotator</t>
        </is>
      </c>
      <c r="B5" s="35" t="inlineStr">
        <is>
          <t>MiLA Assistant (LLM draft — attorney review required)</t>
        </is>
      </c>
      <c r="C5" s="36" t="n"/>
      <c r="D5" s="36" t="n"/>
      <c r="E5" s="37" t="n"/>
    </row>
    <row r="6" ht="15" customHeight="1" s="23">
      <c r="A6" s="33" t="inlineStr">
        <is>
          <t>Date completed</t>
        </is>
      </c>
      <c r="B6" s="35" t="inlineStr">
        <is>
          <t>2026-09-20</t>
        </is>
      </c>
      <c r="C6" s="36" t="n"/>
      <c r="D6" s="36" t="n"/>
      <c r="E6" s="37" t="n"/>
    </row>
    <row r="7" ht="15" customHeight="1" s="23">
      <c r="A7" s="33" t="inlineStr">
        <is>
          <t>Approx. hours spent</t>
        </is>
      </c>
      <c r="B7" s="35" t="n"/>
      <c r="C7" s="36" t="n"/>
      <c r="D7" s="36" t="n"/>
      <c r="E7" s="37" t="n"/>
    </row>
    <row r="8" ht="15" customHeight="1" s="23">
      <c r="A8" s="38" t="inlineStr">
        <is>
          <t>Status tally (auto)</t>
        </is>
      </c>
      <c r="B8" s="39" t="inlineStr">
        <is>
          <t>Found</t>
        </is>
      </c>
      <c r="C8" s="39" t="inlineStr">
        <is>
          <t>Not in this document</t>
        </is>
      </c>
      <c r="D8" s="39" t="inlineStr">
        <is>
          <t>Could not determine</t>
        </is>
      </c>
      <c r="E8" s="39" t="inlineStr">
        <is>
          <t>Ambiguous</t>
        </is>
      </c>
      <c r="F8" s="39" t="inlineStr">
        <is>
          <t>Still blank</t>
        </is>
      </c>
    </row>
    <row r="9" ht="15" customHeight="1" s="23">
      <c r="B9" s="40">
        <f>COUNTIF(D12:D200,"Found")</f>
        <v/>
      </c>
      <c r="C9" s="40">
        <f>COUNTIF(D12:D200,"Not in this document")</f>
        <v/>
      </c>
      <c r="D9" s="40">
        <f>COUNTIF(D12:D200,"Could not determine")</f>
        <v/>
      </c>
      <c r="E9" s="40">
        <f>COUNTIF(D12:D200,"Ambiguous — see note")</f>
        <v/>
      </c>
      <c r="F9" s="40">
        <f>COUNTBLANK(D12:D200)</f>
        <v/>
      </c>
    </row>
    <row r="11" ht="30" customHeight="1" s="23">
      <c r="A11" s="41" t="inlineStr">
        <is>
          <t>Item</t>
        </is>
      </c>
      <c r="B11" s="41" t="inlineStr">
        <is>
          <t>Answer / finding</t>
        </is>
      </c>
      <c r="C11" s="41" t="inlineStr">
        <is>
          <t>Where (article / section / page)</t>
        </is>
      </c>
      <c r="D11" s="41" t="inlineStr">
        <is>
          <t>Status</t>
        </is>
      </c>
      <c r="E11" s="41" t="inlineStr">
        <is>
          <t>Judgment call or note</t>
        </is>
      </c>
    </row>
    <row r="12" ht="19.5" customHeight="1" s="23">
      <c r="A12" s="42" t="inlineStr">
        <is>
          <t>1 · BEQUEST LANGUAGE</t>
        </is>
      </c>
      <c r="B12" s="43" t="inlineStr">
        <is>
          <t>Highest priority for the client.</t>
        </is>
      </c>
      <c r="C12" s="44" t="n"/>
      <c r="D12" s="44" t="n"/>
      <c r="E12" s="44" t="n"/>
    </row>
    <row r="13" ht="30" customHeight="1" s="23">
      <c r="A13" s="45" t="inlineStr">
        <is>
          <t>Article / section where the bequest language appears</t>
        </is>
      </c>
      <c r="B13" s="46" t="inlineStr">
        <is>
          <t>Article Eleven, Section 1 (Division of Trust Property Into Shares) and Section 1.a (Distribution and Administration of Trust Share for University of Miami, Frost School of Music), Pages 2–4; also Article Six, Section 2 (Estate Planning Letter or Memorandum), Page 2</t>
        </is>
      </c>
      <c r="C13" s="46" t="inlineStr">
        <is>
          <t>Article Six, §2, Page 2; Article Eleven, §1 and §1.a, Pages 2–4</t>
        </is>
      </c>
      <c r="D13" s="46" t="inlineStr">
        <is>
          <t>Found</t>
        </is>
      </c>
      <c r="E13" s="46" t="n"/>
    </row>
    <row r="14" ht="42" customHeight="1" s="23">
      <c r="A14" s="45" t="inlineStr">
        <is>
          <t>Exact bequest language (verbatim)</t>
        </is>
      </c>
      <c r="B14" s="46" t="inlineStr">
        <is>
          <t>Article Six, §2: 'After the death of STEPHEN GEORGE HERROLD, my Trustee shall deliver to ELIZABETH KANNEGAARD all of trustor's personal property, other than automobiles, for the purpose of distribution in accordance with instructions I have given her. By way of further instruction, my Trustee shall deliver possession of Trustor's cello to her for the express purpose of hand delivering it to the UNIVERSITY OF MIAMI, SCHOOL OF MUSIC.'
Article Eleven, §1 (Beneficiary Table): 'UNIVERSITY OF MIAMI, FROST SCHOOL OF MUSIC, FEIN #59-0621158 [*TO BE USED FOR STUDENT SCHOLARSHIP FUND] — 100%'
Article Eleven, §1.a.1–2: 'Our Trustee shall promptly pay to, or apply for the benefit of, the UNIVERSITY OF MIAMI, FROST SCHOOL OF MUSIC, the entire net income and principal of its trust share. This gift shall be applied by the beneficiary to the Student Scholarship Fund.'</t>
        </is>
      </c>
      <c r="C14" s="46" t="inlineStr">
        <is>
          <t>Article Six, §2, Page 2; Article Eleven, §1, Page 2–3; Article Eleven, §1.a.1–2, Page 3</t>
        </is>
      </c>
      <c r="D14" s="46" t="inlineStr">
        <is>
          <t>Found</t>
        </is>
      </c>
      <c r="E14" s="46" t="n"/>
    </row>
    <row r="15" ht="30" customHeight="1" s="23">
      <c r="A15" s="45" t="inlineStr">
        <is>
          <t>Plain-English summary of the bequest intention</t>
        </is>
      </c>
      <c r="B15" s="46" t="inlineStr">
        <is>
          <t>The University of Miami receives two distinct items: (1) 100% of the trust residue (the Survivor's Balance, Family Balance, and Marital Balance, if any) after the death of the surviving Trustor (Stephen George Herrold), with the entire net income and principal of the trust share to be paid promptly to the University, restricted to the Student Scholarship Fund at the Frost School of Music; and (2) the Trustor's cello, which is to be delivered by Elizabeth Kannegaard specifically to the University of Miami, School of Music (note: this section uses 'School of Music' rather than 'Frost School of Music').</t>
        </is>
      </c>
      <c r="C15" s="46" t="inlineStr">
        <is>
          <t>Article Six, §2, Page 2; Article Eleven, §1 and §1.a, Pages 2–4</t>
        </is>
      </c>
      <c r="D15" s="46" t="inlineStr">
        <is>
          <t>Found</t>
        </is>
      </c>
      <c r="E15" s="46" t="n"/>
    </row>
    <row r="16" ht="30" customHeight="1" s="23">
      <c r="A16" s="45" t="inlineStr">
        <is>
          <t>Trustee and/or executor — name(s)</t>
        </is>
      </c>
      <c r="B16" s="46" t="inlineStr">
        <is>
          <t>Current/Surviving Trustor and Trustee: STEPHEN GEORGE HERROLD. No successor trustee is named in this amendment. The original trust (July 11, 2001) and prior amendments (not provided) may name successor trustees.</t>
        </is>
      </c>
      <c r="C16" s="46" t="inlineStr">
        <is>
          <t>Preamble, Page 1</t>
        </is>
      </c>
      <c r="D16" s="46" t="inlineStr">
        <is>
          <t>Found</t>
        </is>
      </c>
      <c r="E16" s="46" t="n"/>
    </row>
    <row r="17" ht="30" customHeight="1" s="23">
      <c r="A17" s="45" t="inlineStr">
        <is>
          <t>Trustee and/or executor — contact details (phone / email / address)</t>
        </is>
      </c>
      <c r="B17" s="46" t="n"/>
      <c r="C17" s="46" t="n"/>
      <c r="D17" s="46" t="inlineStr">
        <is>
          <t>Not in this document</t>
        </is>
      </c>
      <c r="E17" s="46" t="inlineStr">
        <is>
          <t>No contact information for the trustee (Stephen George Herrold) is provided in this document. The only contact information given is for the drafting attorney: Law Offices of Roy W. Litherland, 3425 S. Bascom Avenue, Suite 240, Campbell, California 95008, (408) 356-9200, Fax: (408) 356-8901. That is the attorney's contact info, not the trustee's.</t>
        </is>
      </c>
    </row>
    <row r="18" ht="30" customHeight="1" s="23">
      <c r="A18" s="45" t="inlineStr">
        <is>
          <t>What the University of Miami is designated to receive</t>
        </is>
      </c>
      <c r="B18" s="46" t="inlineStr">
        <is>
          <t>1. 100% of the trust residue (Survivor's Balance, Family Balance, and Marital Balance, if any, after the specific distribution of $50,000 to Clarice Munn Burkhart a.k.a. Shawna Harrington under Article Six, §4), payable to UNIVERSITY OF MIAMI, FROST SCHOOL OF MUSIC, FEIN #59-0621158, restricted to the Student Scholarship Fund. The entire net income and principal of the trust share are to be paid promptly.
2. Trustor's cello, to be delivered to UNIVERSITY OF MIAMI, SCHOOL OF MUSIC (note: slightly different name used in Article Six, §2 vs. 'Frost School of Music' in Article Eleven).</t>
        </is>
      </c>
      <c r="C18" s="46" t="inlineStr">
        <is>
          <t>Article Six, §2, Page 2; Article Six, §4.a, Page 2; Article Eleven, §1 and §1.a, Pages 2–4</t>
        </is>
      </c>
      <c r="D18" s="46" t="inlineStr">
        <is>
          <t>Found</t>
        </is>
      </c>
      <c r="E18" s="46" t="n"/>
    </row>
    <row r="19" ht="30" customHeight="1" s="23">
      <c r="A19" s="45" t="inlineStr">
        <is>
          <t>When the University is expected to receive it (trigger event)</t>
        </is>
      </c>
      <c r="B19" s="46" t="inlineStr">
        <is>
          <t>Both gifts are triggered by the death of STEPHEN GEORGE HERROLD (the Surviving Trustor). For the residue (Article Eleven): 'Upon the death of the Surviving Trustor, our Trustee shall divide the Survivor's Balance, the Family Balance, and the Marital Balance...' For the cello (Article Six, §2): 'After the death of STEPHEN GEORGE HERROLD, my Trustee shall deliver...' The specific distribution of $50,000 to Clarice Munn Burkhart (Article Six, §4.a) must also be made first (if that beneficiary survives), before the residue passes to UM. Additionally, the Trustee has discretion to postpone distribution under Article Eleven, Section 2 if there is a 'compelling reason.'</t>
        </is>
      </c>
      <c r="C19" s="46" t="inlineStr">
        <is>
          <t>Article Six, §2, Page 2; Article Six, §4.a, Page 2; Article Eleven, §1, Page 2; Article Eleven, §2, Pages 4–6</t>
        </is>
      </c>
      <c r="D19" s="46" t="inlineStr">
        <is>
          <t>Found</t>
        </is>
      </c>
      <c r="E19" s="46" t="n"/>
    </row>
    <row r="20" ht="19.5" customHeight="1" s="23">
      <c r="A20" s="42" t="inlineStr">
        <is>
          <t>2 · INCOME BENEFICIARIES</t>
        </is>
      </c>
      <c r="B20" s="43" t="inlineStr">
        <is>
          <t>Leave as 'Not in this document' if there are none.</t>
        </is>
      </c>
      <c r="C20" s="44" t="n"/>
      <c r="D20" s="44" t="n"/>
      <c r="E20" s="44" t="n"/>
    </row>
    <row r="21" ht="30" customHeight="1" s="23">
      <c r="A21" s="45" t="inlineStr">
        <is>
          <t>How many income beneficiaries are named</t>
        </is>
      </c>
      <c r="B21" s="46" t="n"/>
      <c r="C21" s="46" t="n"/>
      <c r="D21" s="46" t="inlineStr">
        <is>
          <t>Not in this document</t>
        </is>
      </c>
      <c r="E21" s="46" t="inlineStr">
        <is>
          <t>There are no income or lifetime beneficiaries named in this amendment. The University of Miami, Frost School of Music, receives 100% of the trust residue outright (net income and principal), with no intervening life income beneficiary.</t>
        </is>
      </c>
    </row>
    <row r="22" ht="30" customHeight="1" s="23">
      <c r="A22" s="45" t="inlineStr">
        <is>
          <t>Who they are (name, and relationship to grantor if stated)</t>
        </is>
      </c>
      <c r="B22" s="46" t="n"/>
      <c r="C22" s="46" t="n"/>
      <c r="D22" s="46" t="inlineStr">
        <is>
          <t>Not in this document</t>
        </is>
      </c>
      <c r="E22" s="46" t="n"/>
    </row>
    <row r="23" ht="30" customHeight="1" s="23">
      <c r="A23" s="45" t="inlineStr">
        <is>
          <t>What this implies for when the University receives the gift</t>
        </is>
      </c>
      <c r="B23" s="46" t="n"/>
      <c r="C23" s="46" t="n"/>
      <c r="D23" s="46" t="inlineStr">
        <is>
          <t>Not in this document</t>
        </is>
      </c>
      <c r="E23" s="46" t="inlineStr">
        <is>
          <t>Because there are no income/lifetime beneficiaries, the University's gift is not deferred by any life interest. The Trustee is directed to 'promptly pay' the entire net income and principal upon the death of the Surviving Trustor, subject only to the Trustee's postponement discretion under Article Eleven, Section 2.</t>
        </is>
      </c>
    </row>
    <row r="24" ht="19.5" customHeight="1" s="23">
      <c r="A24" s="42" t="inlineStr">
        <is>
          <t>3 · RESTRICTIONS AND CONTINGENCIES</t>
        </is>
      </c>
      <c r="B24" s="43" t="inlineStr">
        <is>
          <t>Anything that could prevent, delay or reduce receipt.</t>
        </is>
      </c>
      <c r="C24" s="44" t="n"/>
      <c r="D24" s="44" t="n"/>
      <c r="E24" s="44" t="n"/>
    </row>
    <row r="25" ht="33.75" customHeight="1" s="23">
      <c r="A25" s="45" t="inlineStr">
        <is>
          <t>Is the University a primary or a contingent beneficiary?</t>
        </is>
      </c>
      <c r="B25" s="46" t="inlineStr">
        <is>
          <t>The University of Miami, Frost School of Music, is the primary (and sole, at 100%) beneficiary of the trust residue under Article Eleven. There is no other residuary beneficiary. The University is also the named recipient of the cello under Article Six, §2, though delivery is routed through Elizabeth Kannegaard.</t>
        </is>
      </c>
      <c r="C25" s="46" t="inlineStr">
        <is>
          <t>Article Eleven, §1, Pages 2–3; Article Six, §2, Page 2</t>
        </is>
      </c>
      <c r="D25" s="46" t="inlineStr">
        <is>
          <t>Found</t>
        </is>
      </c>
      <c r="E25" s="46" t="n"/>
    </row>
    <row r="26" ht="33.75" customHeight="1" s="23">
      <c r="A26" s="45" t="inlineStr">
        <is>
          <t>Conditions or contingencies that must be satisfied before receipt</t>
        </is>
      </c>
      <c r="B26" s="46" t="inlineStr">
        <is>
          <t>1. The Surviving Trustor (Stephen George Herrold) must die.
2. The specific distribution of $50,000 to Clarice Munn Burkhart a.k.a. Shawna Harrington (Article Six, §4.a) must be made first (if that beneficiary survives the Trustor); if she predeceases, that distribution lapses and is administered per subsequent Articles (potentially increasing the residue available to UM).
3. All expenses, claims, liens, encumbrances, and taxes relative to the specific distribution to Clarice Munn Burkhart are paid from that specific distribution.
4. The University of Miami, Frost School of Music, must still be in existence and qualify as a tax-exempt organization under IRC §§170(c), 2055, and 2522 at the time distribution is directed.</t>
        </is>
      </c>
      <c r="C26" s="46" t="inlineStr">
        <is>
          <t>Article Six, §4.a, Page 2; Article Eleven, §1 and §1.a.3, Pages 2–4</t>
        </is>
      </c>
      <c r="D26" s="46" t="inlineStr">
        <is>
          <t>Found</t>
        </is>
      </c>
      <c r="E26" s="46" t="n"/>
    </row>
    <row r="27" ht="33.75" customHeight="1" s="23">
      <c r="A27" s="45" t="inlineStr">
        <is>
          <t>Other restrictions, limitations or obstacles to distribution</t>
        </is>
      </c>
      <c r="B27" s="46" t="inlineStr">
        <is>
          <t>1. PURPOSE RESTRICTION: The gift (residue) is restricted to the 'Student Scholarship Fund' at the Frost School of Music. (Article Eleven, §1 header note and §1.a.2.)
2. CELLO: The cello gift is to be delivered to 'UNIVERSITY OF MIAMI, SCHOOL OF MUSIC' (not 'Frost School of Music' as used elsewhere) — see UM Mentions for this naming discrepancy.
3. TAX-EXEMPT STATUS / EXISTENCE: If the University of Miami, Frost School of Music, is no longer in existence or has been involved in a non-form-change merger at the time of distribution, its interest lapses. The Trustee then distributes to a qualifying organization the Trustee determines most closely matches the charitable intent, in the Trustee's discretion. If no qualified tax-exempt beneficiary can be found, the share lapses and is reallocated among remaining beneficiaries. (Article Eleven, §1.a.3 and §1 charitable lapse provisions.)
4. TRUSTEE POSTPONEMENT DISCRETION: The Trustee may postpone distribution to any beneficiary (including the University) if there is a 'compelling reason,' accumulating net income to principal, and making only discretionary principal payments during any such postponement period. (Article Eleven, §2.)
5. NO-CONTEST CLAUSE: Any beneficiary who contests the trust without probable cause forfeits their interest. (No Contest Clause, Pages 7–8.)
6. FOURTH AMENDMENT REVOKED: The Fourth Amendment (dated January 22, 2016) is fully revoked by this Fifth Amendment. The prior disposition of the trust residue (if any) under the Fourth Amendment no longer applies.</t>
        </is>
      </c>
      <c r="C27" s="46" t="inlineStr">
        <is>
          <t>Article Eleven, §1 (table note), Page 2–3; Article Eleven, §1.a.2–3, Page 3–4; Article Eleven, §2, Pages 4–6; No Contest Clause, Pages 7–8; Preamble/Revocation section, Page 1–2</t>
        </is>
      </c>
      <c r="D27" s="46" t="inlineStr">
        <is>
          <t>Found</t>
        </is>
      </c>
      <c r="E27" s="46" t="n"/>
    </row>
    <row r="28" ht="19.5" customHeight="1" s="23">
      <c r="A28" s="42" t="inlineStr">
        <is>
          <t>4 · DEFINED TERMS</t>
        </is>
      </c>
      <c r="B28" s="43" t="inlineStr">
        <is>
          <t>One row per defined term. Column B = the definition as stated. Add rows as needed.</t>
        </is>
      </c>
      <c r="C28" s="44" t="n"/>
      <c r="D28" s="44" t="n"/>
      <c r="E28" s="44" t="n"/>
    </row>
    <row r="29" ht="25.5" customHeight="1" s="23">
      <c r="A29" s="45" t="inlineStr">
        <is>
          <t>Term 1</t>
        </is>
      </c>
      <c r="B29" s="46" t="n"/>
      <c r="C29" s="46" t="n"/>
      <c r="D29" s="46" t="inlineStr">
        <is>
          <t>Not in this document</t>
        </is>
      </c>
      <c r="E29" s="46" t="n"/>
    </row>
    <row r="30" ht="25.5" customHeight="1" s="23">
      <c r="A30" s="45" t="inlineStr">
        <is>
          <t>Term 2</t>
        </is>
      </c>
      <c r="B30" s="46" t="n"/>
      <c r="C30" s="46" t="n"/>
      <c r="D30" s="46" t="inlineStr">
        <is>
          <t>Not in this document</t>
        </is>
      </c>
      <c r="E30" s="46" t="n"/>
    </row>
    <row r="31" ht="25.5" customHeight="1" s="23">
      <c r="A31" s="45" t="inlineStr">
        <is>
          <t>Term 3</t>
        </is>
      </c>
      <c r="B31" s="46" t="n"/>
      <c r="C31" s="46" t="n"/>
      <c r="D31" s="46" t="inlineStr">
        <is>
          <t>Not in this document</t>
        </is>
      </c>
      <c r="E31" s="46" t="n"/>
    </row>
    <row r="32" ht="25.5" customHeight="1" s="23">
      <c r="A32" s="45" t="inlineStr">
        <is>
          <t>Term 4</t>
        </is>
      </c>
      <c r="B32" s="46" t="n"/>
      <c r="C32" s="46" t="n"/>
      <c r="D32" s="46" t="inlineStr">
        <is>
          <t>Not in this document</t>
        </is>
      </c>
      <c r="E32" s="46" t="n"/>
    </row>
    <row r="33" ht="25.5" customHeight="1" s="23">
      <c r="A33" s="45" t="inlineStr">
        <is>
          <t>Term 5</t>
        </is>
      </c>
      <c r="B33" s="46" t="n"/>
      <c r="C33" s="46" t="n"/>
      <c r="D33" s="46" t="inlineStr">
        <is>
          <t>Not in this document</t>
        </is>
      </c>
      <c r="E33" s="46" t="n"/>
    </row>
    <row r="34" ht="25.5" customHeight="1" s="23">
      <c r="A34" s="45" t="inlineStr">
        <is>
          <t>Term 6</t>
        </is>
      </c>
      <c r="B34" s="46" t="n"/>
      <c r="C34" s="46" t="n"/>
      <c r="D34" s="46" t="inlineStr">
        <is>
          <t>Not in this document</t>
        </is>
      </c>
      <c r="E34" s="46" t="n"/>
    </row>
    <row r="35" ht="25.5" customHeight="1" s="23">
      <c r="A35" s="45" t="inlineStr">
        <is>
          <t>Term 7</t>
        </is>
      </c>
      <c r="B35" s="46" t="n"/>
      <c r="C35" s="46" t="n"/>
      <c r="D35" s="46" t="inlineStr">
        <is>
          <t>Not in this document</t>
        </is>
      </c>
      <c r="E35" s="46" t="n"/>
    </row>
    <row r="36" ht="25.5" customHeight="1" s="23">
      <c r="A36" s="45" t="inlineStr">
        <is>
          <t>Term 8</t>
        </is>
      </c>
      <c r="B36" s="46" t="n"/>
      <c r="C36" s="46" t="n"/>
      <c r="D36" s="46" t="inlineStr">
        <is>
          <t>Not in this document</t>
        </is>
      </c>
      <c r="E36" s="46" t="n"/>
    </row>
    <row r="37" ht="25.5" customHeight="1" s="23">
      <c r="A37" s="45" t="inlineStr">
        <is>
          <t>Term 9</t>
        </is>
      </c>
      <c r="B37" s="46" t="n"/>
      <c r="C37" s="46" t="n"/>
      <c r="D37" s="46" t="inlineStr">
        <is>
          <t>Not in this document</t>
        </is>
      </c>
      <c r="E37" s="46" t="n"/>
    </row>
    <row r="38" ht="25.5" customHeight="1" s="23">
      <c r="A38" s="45" t="inlineStr">
        <is>
          <t>Term 10</t>
        </is>
      </c>
      <c r="B38" s="46" t="n"/>
      <c r="C38" s="46" t="n"/>
      <c r="D38" s="46" t="inlineStr">
        <is>
          <t>Not in this document</t>
        </is>
      </c>
      <c r="E38" s="46" t="n"/>
    </row>
    <row r="39" ht="25.5" customHeight="1" s="23">
      <c r="A39" s="45" t="inlineStr">
        <is>
          <t>Term 11</t>
        </is>
      </c>
      <c r="B39" s="46" t="n"/>
      <c r="C39" s="46" t="n"/>
      <c r="D39" s="46" t="inlineStr">
        <is>
          <t>Not in this document</t>
        </is>
      </c>
      <c r="E39" s="46" t="n"/>
    </row>
    <row r="40" ht="25.5" customHeight="1" s="23">
      <c r="A40" s="45" t="inlineStr">
        <is>
          <t>Term 12</t>
        </is>
      </c>
      <c r="B40" s="46" t="n"/>
      <c r="C40" s="46" t="n"/>
      <c r="D40" s="46" t="inlineStr">
        <is>
          <t>Not in this document</t>
        </is>
      </c>
      <c r="E40" s="46" t="n"/>
    </row>
    <row r="41" ht="19.5" customHeight="1" s="23">
      <c r="A41" s="42" t="inlineStr">
        <is>
          <t>5 · ALL MENTIONS OF “UNIVERSITY OF MIAMI”</t>
        </is>
      </c>
      <c r="B41" s="43" t="inlineStr">
        <is>
          <t>One row per occurrence, including variants and named schools or units. Column B = exact name used + surrounding context. Add rows as needed.</t>
        </is>
      </c>
      <c r="C41" s="44" t="n"/>
      <c r="D41" s="44" t="n"/>
      <c r="E41" s="44" t="n"/>
    </row>
    <row r="42" ht="31.5" customHeight="1" s="23">
      <c r="A42" s="45" t="inlineStr">
        <is>
          <t>Mention 1</t>
        </is>
      </c>
      <c r="B42" s="46" t="inlineStr">
        <is>
          <t>my Trustee shall deliver possession of Trustor's cello to her for the express purpose of hand delivering it to the UNIVERSITY OF MIAMI, SCHOOL OF MUSIC.</t>
        </is>
      </c>
      <c r="C42" s="46" t="inlineStr">
        <is>
          <t>Article Six, §2, Page 2</t>
        </is>
      </c>
      <c r="D42" s="46" t="inlineStr">
        <is>
          <t>Found</t>
        </is>
      </c>
      <c r="E42" s="46" t="inlineStr">
        <is>
          <t>Uses 'UNIVERSITY OF MIAMI, SCHOOL OF MUSIC' — does NOT include 'FROST' in the school name. All other mentions in this document use 'UNIVERSITY OF MIAMI, FROST SCHOOL OF MUSIC.' This may or may not refer to the same unit; a reviewing attorney should confirm whether the cello is intended for the Frost School of Music or a different school/unit.</t>
        </is>
      </c>
    </row>
    <row r="43" ht="31.5" customHeight="1" s="23">
      <c r="A43" s="45" t="inlineStr">
        <is>
          <t>Mention 2</t>
        </is>
      </c>
      <c r="B43" s="46" t="inlineStr">
        <is>
          <t>UNIVERSITY OF MIAMI, FROST SCHOOL OF MUSIC, FEIN #59-0621158 * TO BE USED FOR STUDENT SCHOLARSHIP FUND — 100%</t>
        </is>
      </c>
      <c r="C43" s="46" t="inlineStr">
        <is>
          <t>Article Eleven, §1, Pages 2–3</t>
        </is>
      </c>
      <c r="D43" s="46" t="inlineStr">
        <is>
          <t>Found</t>
        </is>
      </c>
      <c r="E43" s="46" t="n"/>
    </row>
    <row r="44" ht="31.5" customHeight="1" s="23">
      <c r="A44" s="45" t="inlineStr">
        <is>
          <t>Mention 3</t>
        </is>
      </c>
      <c r="B44" s="46" t="inlineStr">
        <is>
          <t>Distribution and Administration of Trust Share for UNIVERSITY OF MIAMI, FROST SCHOOL OF MUSIC, FEIN #59-0621158</t>
        </is>
      </c>
      <c r="C44" s="46" t="inlineStr">
        <is>
          <t>Article Eleven, §1.a, Page 3</t>
        </is>
      </c>
      <c r="D44" s="46" t="inlineStr">
        <is>
          <t>Found</t>
        </is>
      </c>
      <c r="E44" s="46" t="n"/>
    </row>
    <row r="45" ht="31.5" customHeight="1" s="23">
      <c r="A45" s="45" t="inlineStr">
        <is>
          <t>Mention 4</t>
        </is>
      </c>
      <c r="B45" s="46" t="inlineStr">
        <is>
          <t>Our Trustee shall promptly pay to, or apply for the benefit of, the UNIVERSITY OF MIAMI, FROST SCHOOL OF MUSIC, the entire net income and principal of its trust share.</t>
        </is>
      </c>
      <c r="C45" s="46" t="inlineStr">
        <is>
          <t>Article Eleven, §1.a.1, Page 3</t>
        </is>
      </c>
      <c r="D45" s="46" t="inlineStr">
        <is>
          <t>Found</t>
        </is>
      </c>
      <c r="E45" s="46" t="n"/>
    </row>
    <row r="46" ht="31.5" customHeight="1" s="23">
      <c r="A46" s="45" t="inlineStr">
        <is>
          <t>Mention 5</t>
        </is>
      </c>
      <c r="B46" s="46" t="inlineStr">
        <is>
          <t>If the UNIVERSITY OF MIAMI, FROST SCHOOL OF MUSIC is not in existence or has been involved in a merger which is not a mere change in form at the time that a distribution is directed to be made, its interest in its trust share shall lapse...</t>
        </is>
      </c>
      <c r="C46" s="46" t="inlineStr">
        <is>
          <t>Article Eleven, §1.a.3, Pages 3–4</t>
        </is>
      </c>
      <c r="D46" s="46" t="inlineStr">
        <is>
          <t>Found</t>
        </is>
      </c>
      <c r="E46" s="46" t="n"/>
    </row>
    <row r="47" ht="31.5" customHeight="1" s="23">
      <c r="A47" s="45" t="inlineStr">
        <is>
          <t>Mention 6</t>
        </is>
      </c>
      <c r="B47" s="46" t="n"/>
      <c r="C47" s="46" t="n"/>
      <c r="D47" s="46" t="inlineStr">
        <is>
          <t>Not in this document</t>
        </is>
      </c>
      <c r="E47" s="46" t="n"/>
    </row>
    <row r="48" ht="31.5" customHeight="1" s="23">
      <c r="A48" s="45" t="inlineStr">
        <is>
          <t>Mention 7</t>
        </is>
      </c>
      <c r="B48" s="46" t="n"/>
      <c r="C48" s="46" t="n"/>
      <c r="D48" s="46" t="inlineStr">
        <is>
          <t>Not in this document</t>
        </is>
      </c>
      <c r="E48" s="46" t="n"/>
    </row>
    <row r="49" ht="31.5" customHeight="1" s="23">
      <c r="A49" s="45" t="inlineStr">
        <is>
          <t>Mention 8</t>
        </is>
      </c>
      <c r="B49" s="46" t="n"/>
      <c r="C49" s="46" t="n"/>
      <c r="D49" s="46" t="inlineStr">
        <is>
          <t>Not in this document</t>
        </is>
      </c>
      <c r="E49" s="46" t="n"/>
    </row>
    <row r="50" ht="31.5" customHeight="1" s="23">
      <c r="A50" s="45" t="inlineStr">
        <is>
          <t>Mention 9</t>
        </is>
      </c>
      <c r="B50" s="46" t="n"/>
      <c r="C50" s="46" t="n"/>
      <c r="D50" s="46" t="inlineStr">
        <is>
          <t>Not in this document</t>
        </is>
      </c>
      <c r="E50" s="46" t="n"/>
    </row>
    <row r="51" ht="31.5" customHeight="1" s="23">
      <c r="A51" s="45" t="inlineStr">
        <is>
          <t>Mention 10</t>
        </is>
      </c>
      <c r="B51" s="46" t="n"/>
      <c r="C51" s="46" t="n"/>
      <c r="D51" s="46" t="inlineStr">
        <is>
          <t>Not in this document</t>
        </is>
      </c>
      <c r="E51" s="46" t="n"/>
    </row>
    <row r="52" ht="31.5" customHeight="1" s="23">
      <c r="A52" s="45" t="inlineStr">
        <is>
          <t>Mention 11</t>
        </is>
      </c>
      <c r="B52" s="46" t="n"/>
      <c r="C52" s="46" t="n"/>
      <c r="D52" s="46" t="inlineStr">
        <is>
          <t>Not in this document</t>
        </is>
      </c>
      <c r="E52" s="46" t="n"/>
    </row>
    <row r="53" ht="31.5" customHeight="1" s="23">
      <c r="A53" s="45" t="inlineStr">
        <is>
          <t>Mention 12</t>
        </is>
      </c>
      <c r="B53" s="46" t="n"/>
      <c r="C53" s="46" t="n"/>
      <c r="D53" s="46" t="inlineStr">
        <is>
          <t>Not in this document</t>
        </is>
      </c>
      <c r="E53" s="46" t="n"/>
    </row>
    <row r="54" ht="19.5" customHeight="1" s="23">
      <c r="A54" s="42" t="inlineStr">
        <is>
          <t>6 · FOUND, BUT DIDN'T FIT ANY CATEGORY ABOVE</t>
        </is>
      </c>
      <c r="B54" s="43" t="inlineStr">
        <is>
          <t>Anything material the specification has no box for.</t>
        </is>
      </c>
      <c r="C54" s="44" t="n"/>
      <c r="D54" s="44" t="n"/>
      <c r="E54" s="44" t="n"/>
    </row>
    <row r="55" ht="30" customHeight="1" s="23">
      <c r="A55" s="45" t="inlineStr">
        <is>
          <t>1.</t>
        </is>
      </c>
      <c r="B55" s="46" t="inlineStr">
        <is>
          <t>REVOCATION OF FOURTH AMENDMENT: 'By this document, the Trustor hereby revokes the FOURTH AMENDMENT in its entirety.' The Fourth Amendment was dated January 22, 2016. The prior beneficiary designation(s) under the Fourth Amendment are entirely superseded.</t>
        </is>
      </c>
      <c r="C55" s="46" t="inlineStr">
        <is>
          <t>Preamble / Revocation of Fourth Amendment section, Page 1–2</t>
        </is>
      </c>
      <c r="D55" s="46" t="n"/>
      <c r="E55" s="46" t="inlineStr">
        <is>
          <t>The content of the Fourth Amendment is not provided. A reviewing attorney should confirm what the Fourth Amendment provided in order to understand the full scope of what has been changed.</t>
        </is>
      </c>
    </row>
    <row r="56" ht="30" customHeight="1" s="23">
      <c r="A56" s="45" t="inlineStr">
        <is>
          <t>2.</t>
        </is>
      </c>
      <c r="B56" s="46" t="inlineStr">
        <is>
          <t>SPECIFIC DISTRIBUTION TO CLARICE MUNN BURKHART A.K.A. SHAWNA HARRINGTON: $50,000 outright from the Contributive Share of the indicated Deceased Trustor, prior to the residuary division. If she predeceases both Trustors, the specific distribution lapses and is administered per subsequent Articles — which could affect the residue available to UM.</t>
        </is>
      </c>
      <c r="C56" s="46" t="inlineStr">
        <is>
          <t>Article Six, §4.a, Page 2</t>
        </is>
      </c>
      <c r="D56" s="46" t="n"/>
      <c r="E56" s="46" t="inlineStr">
        <is>
          <t>This is a specific bequest senior in priority to the UM residuary gift. The trust does not state what taxes/expenses must be satisfied before or after this specific distribution vis-à-vis UM's share, beyond saying that 'all expenses, claims, liens, encumbrances and taxes relative to this specific distribution shall be paid from the specific distribution.'</t>
        </is>
      </c>
    </row>
    <row r="57" ht="30" customHeight="1" s="23">
      <c r="A57" s="45" t="inlineStr">
        <is>
          <t>3.</t>
        </is>
      </c>
      <c r="B57" s="46" t="inlineStr">
        <is>
          <t>ELIZABETH KANNEGAARD: Named to receive all personal property (other than automobiles) for distribution per the Trustor's instructions, and specifically to hand-deliver the cello to the University of Miami, School of Music. She is not identified as a beneficiary of the trust residue, nor is her relationship to the Trustor stated.</t>
        </is>
      </c>
      <c r="C57" s="46" t="inlineStr">
        <is>
          <t>Article Six, §2, Page 2</t>
        </is>
      </c>
      <c r="D57" s="46" t="n"/>
      <c r="E57" s="46" t="inlineStr">
        <is>
          <t>Her role is as a conduit/agent for personal property distribution and cello delivery, not as a trust beneficiary. If she predeceases the Trustor or is unable to serve, no alternate mechanism is named in this amendment for delivery of the cello.</t>
        </is>
      </c>
    </row>
    <row r="58" ht="30" customHeight="1" s="23">
      <c r="A58" s="45" t="inlineStr">
        <is>
          <t>4.</t>
        </is>
      </c>
      <c r="B58" s="46" t="inlineStr">
        <is>
          <t>TRUSTEE POSTPONEMENT DISCRETION (Article Eleven, §2): The Trustee may postpone distribution to any beneficiary — including the University — if there is a 'compelling reason.' During postponement, net income accumulates to principal and only discretionary principal payments may be made. The list of compelling reasons includes financial difficulty, tax considerations, and others. This power could delay UM's receipt of funds.</t>
        </is>
      </c>
      <c r="C58" s="46" t="inlineStr">
        <is>
          <t>Article Eleven, §2, Pages 4–6</t>
        </is>
      </c>
      <c r="D58" s="46" t="n"/>
      <c r="E58" s="46" t="n"/>
    </row>
    <row r="59" ht="30" customHeight="1" s="23">
      <c r="A59" s="45" t="inlineStr">
        <is>
          <t>5.</t>
        </is>
      </c>
      <c r="B59" s="46" t="inlineStr">
        <is>
          <t>NO-CONTEST CLAUSE: Any beneficiary who, without probable cause, files a direct contest alleging invalidity of the trust or any of its terms forfeits their interest, which is then distributed as if that person predeceased the Trustor without descendants. Applies to UM as a named beneficiary.</t>
        </is>
      </c>
      <c r="C59" s="46" t="inlineStr">
        <is>
          <t>No Contest Clause, Pages 7–8</t>
        </is>
      </c>
      <c r="D59" s="46" t="n"/>
      <c r="E59" s="46" t="n"/>
    </row>
    <row r="60" ht="30" customHeight="1" s="23">
      <c r="A60" s="45" t="inlineStr">
        <is>
          <t>6.</t>
        </is>
      </c>
      <c r="B60" s="46" t="inlineStr">
        <is>
          <t>BENEFICIARY'S LIMITED POWER OF APPOINTMENT (Article Eleven, §3): Any beneficiary under Article Eleven has a limited testamentary power of appointment over their trust share, exercisable by Will in favor of the Trustors' then-living descendants. For a charitable beneficiary such as the University of Miami, this provision is practically inapplicable, but its inclusion in the same section warrants attorney review.</t>
        </is>
      </c>
      <c r="C60" s="46" t="inlineStr">
        <is>
          <t>Article Eleven, §3, Pages 6–7</t>
        </is>
      </c>
      <c r="D60" s="46" t="n"/>
      <c r="E60" s="46" t="n"/>
    </row>
    <row r="61" ht="19.5" customHeight="1" s="23">
      <c r="A61" s="47" t="n"/>
      <c r="B61" s="48" t="inlineStr">
        <is>
          <t>GENERAL POWER OF APPOINTMENT OVER NON-EXEMPT ASSETS (Article Eleven, §4): Beneficiaries may exercise a general power of appointment by last Will (not codicil) over the maximum amount that would equalize the federal estate tax marginal rate with the GST Tax marginal rate. As a charitable organization, UM would not exercise a will, but this provision is in the same article governing UM's share.</t>
        </is>
      </c>
      <c r="C61" s="48" t="inlineStr">
        <is>
          <t>Article Eleven, §4, Pages 6–7</t>
        </is>
      </c>
      <c r="D61" s="48" t="n"/>
      <c r="E61" s="48" t="n"/>
    </row>
    <row r="62" ht="30" customHeight="1" s="23">
      <c r="A62" s="47" t="n"/>
      <c r="B62" s="48" t="inlineStr">
        <is>
          <t>The cello bequest in Article Six, §2 names 'UNIVERSITY OF MIAMI, SCHOOL OF MUSIC,' while all other provisions name 'UNIVERSITY OF MIAMI, FROST SCHOOL OF MUSIC.' I treated these as referring to the same institution/unit, but this is a naming discrepancy that could mean a different school or department — it is flagged as a question for the client rather than resolved here.</t>
        </is>
      </c>
      <c r="C62" s="48" t="inlineStr">
        <is>
          <t>Preamble, Page 1</t>
        </is>
      </c>
      <c r="D62" s="48" t="n"/>
      <c r="E62" s="48" t="inlineStr">
        <is>
          <t>The original trust and prior amendments should be obtained to confirm there are no provisions affecting UM's interest that are not addressed by this Fifth Amendment's specific amendments and the ratification clause.</t>
        </is>
      </c>
    </row>
    <row r="63" ht="30" customHeight="1" s="23">
      <c r="A63" s="42" t="inlineStr">
        <is>
          <t>7 · JUDGMENT CALLS I HAD TO MAKE</t>
        </is>
      </c>
      <c r="B63" s="43" t="inlineStr">
        <is>
          <t>Article Eleven, §2 (Postponement of Distribution) lists 'compelling reasons' that apply to individual beneficiaries (e.g., age under 25, substance abuse, marital dissolution). The provision on its face applies to 'any beneficiary' including charitable ones. I noted this as a potential restriction on UM's receipt but did not resolve whether it could practicably be invoked against a charitable organization.</t>
        </is>
      </c>
      <c r="C63" s="44" t="n"/>
      <c r="D63" s="44" t="n"/>
      <c r="E63" s="44" t="n"/>
    </row>
    <row r="64" ht="30" customHeight="1" s="23">
      <c r="A64" s="45" t="inlineStr">
        <is>
          <t>1.</t>
        </is>
      </c>
      <c r="B64" s="46" t="inlineStr">
        <is>
          <t>The Fourth Amendment is revoked in its entirety by this Fifth Amendment. Because the Fourth Amendment's content is not provided, I could not determine what prior beneficiary designations or provisions it contained. I noted this as requiring attorney review rather than assuming all relevant prior provisions are addressed.</t>
        </is>
      </c>
      <c r="C64" s="46" t="n"/>
      <c r="D64" s="46" t="n"/>
      <c r="E64" s="46" t="n"/>
    </row>
    <row r="65" ht="30" customHeight="1" s="23">
      <c r="A65" s="45" t="inlineStr">
        <is>
          <t>2.</t>
        </is>
      </c>
      <c r="B65" s="46" t="inlineStr">
        <is>
          <t>The ratification clause states the Trustor 'confirms and ratifies the terms of the trust as stated in that certain declaration of Trust referenced above except as has previously been modified by any prior amendments.' I read this as ratifying unamended provisions of the original trust and all prior valid amendments (i.e., First, Second, and court-order amendment), but not the now-revoked Fourth Amendment. I did not attempt to reconstruct those prior terms.</t>
        </is>
      </c>
      <c r="C65" s="46" t="n"/>
      <c r="D65" s="46" t="n"/>
      <c r="E65" s="46" t="n"/>
    </row>
    <row r="66" ht="30" customHeight="1" s="23">
      <c r="A66" s="45" t="inlineStr">
        <is>
          <t>3.</t>
        </is>
      </c>
      <c r="B66" s="46" t="n"/>
      <c r="C66" s="46" t="n"/>
      <c r="D66" s="46" t="inlineStr">
        <is>
          <t>Not in this document</t>
        </is>
      </c>
      <c r="E66" s="46" t="n"/>
    </row>
    <row r="67" ht="30" customHeight="1" s="23">
      <c r="A67" s="45" t="inlineStr">
        <is>
          <t>4.</t>
        </is>
      </c>
      <c r="B67" s="46" t="n"/>
      <c r="C67" s="46" t="n"/>
      <c r="D67" s="46" t="inlineStr">
        <is>
          <t>Not in this document</t>
        </is>
      </c>
      <c r="E67" s="46" t="n"/>
    </row>
    <row r="68" ht="30" customHeight="1" s="23">
      <c r="A68" s="45" t="inlineStr">
        <is>
          <t>5.</t>
        </is>
      </c>
      <c r="B68" s="46" t="n"/>
      <c r="C68" s="46" t="n"/>
      <c r="D68" s="46" t="inlineStr">
        <is>
          <t>Not in this document</t>
        </is>
      </c>
      <c r="E68" s="46" t="n"/>
    </row>
    <row r="69" ht="30" customHeight="1" s="23">
      <c r="A69" s="45" t="inlineStr">
        <is>
          <t>6.</t>
        </is>
      </c>
      <c r="B69" s="46" t="n"/>
      <c r="C69" s="46" t="n"/>
      <c r="D69" s="46" t="inlineStr">
        <is>
          <t>Not in this document</t>
        </is>
      </c>
      <c r="E69" s="46" t="n"/>
    </row>
    <row r="70" ht="30" customHeight="1" s="23">
      <c r="A70" s="45" t="inlineStr">
        <is>
          <t>7.</t>
        </is>
      </c>
      <c r="B70" s="46" t="n"/>
      <c r="C70" s="46" t="n"/>
      <c r="D70" s="46" t="inlineStr">
        <is>
          <t>Not in this document</t>
        </is>
      </c>
      <c r="E70" s="46" t="n"/>
    </row>
    <row r="71" ht="30" customHeight="1" s="23">
      <c r="A71" s="45" t="inlineStr">
        <is>
          <t>8.</t>
        </is>
      </c>
      <c r="B71" s="46" t="n"/>
      <c r="C71" s="46" t="n"/>
      <c r="D71" s="46" t="inlineStr">
        <is>
          <t>Not in this document</t>
        </is>
      </c>
      <c r="E71" s="46" t="n"/>
    </row>
    <row r="72" ht="19.5" customHeight="1" s="23">
      <c r="A72" s="45" t="inlineStr">
        <is>
          <t>9.</t>
        </is>
      </c>
      <c r="B72" s="46" t="n"/>
      <c r="C72" s="46" t="n"/>
      <c r="D72" s="46" t="n"/>
      <c r="E72" s="46" t="n"/>
    </row>
    <row r="73" ht="30" customHeight="1" s="23">
      <c r="A73" s="45" t="inlineStr">
        <is>
          <t>10.</t>
        </is>
      </c>
      <c r="B73" s="46" t="inlineStr">
        <is>
          <t>The cello bequest in Article Six, §2 names 'UNIVERSITY OF MIAMI, SCHOOL OF MUSIC,' but all other provisions in this amendment name 'UNIVERSITY OF MIAMI, FROST SCHOOL OF MUSIC.' Should the cello be treated as a gift to the Frost School of Music, or does this refer to a different school or unit at the University?</t>
        </is>
      </c>
      <c r="C73" s="46" t="n"/>
      <c r="D73" s="46" t="n"/>
      <c r="E73" s="46" t="n"/>
    </row>
    <row r="74" ht="30" customHeight="1" s="23">
      <c r="A74" s="42" t="inlineStr">
        <is>
          <t>8 · QUESTIONS FOR THE CLIENT</t>
        </is>
      </c>
      <c r="B74" s="43" t="inlineStr">
        <is>
          <t>The Fourth Amendment (dated January 22, 2016) is revoked in its entirety by this Fifth Amendment, but the content of the Fourth Amendment is not available in the instrument chain provided. Does the Office of Estate and Gift Planning have a copy of the Fourth Amendment, and did it contain any provisions affecting the University of Miami's interest that are not addressed by this Fifth Amendment?</t>
        </is>
      </c>
      <c r="C74" s="44" t="n"/>
      <c r="D74" s="44" t="n"/>
      <c r="E74" s="44" t="n"/>
    </row>
    <row r="75" ht="30" customHeight="1" s="23">
      <c r="A75" s="45" t="inlineStr">
        <is>
          <t>1.</t>
        </is>
      </c>
      <c r="B75" s="46" t="inlineStr">
        <is>
          <t>The original Herrold Living Trust (July 11, 2001) and the First, Second, and court-order Amendments are not provided. Are there provisions in those instruments — ratified by this Fifth Amendment — that affect the University of Miami's interest, the definition of 'Survivor's Balance,' 'Family Balance,' or 'Marital Balance,' or the identity of the successor trustee(s)?</t>
        </is>
      </c>
      <c r="C75" s="46" t="n"/>
      <c r="D75" s="46" t="n"/>
      <c r="E75" s="46" t="n"/>
    </row>
    <row r="76" ht="30" customHeight="1" s="23">
      <c r="A76" s="45" t="inlineStr">
        <is>
          <t>2.</t>
        </is>
      </c>
      <c r="B76" s="46" t="inlineStr">
        <is>
          <t>Article Eleven, §2 grants the Trustee broad discretion to postpone distributions to any beneficiary for a 'compelling reason.' Has the Trustee indicated any intent to postpone or withhold the University's distribution, and is there currently a serving successor trustee who should be identified?</t>
        </is>
      </c>
      <c r="C76" s="46" t="n"/>
      <c r="D76" s="46" t="n"/>
      <c r="E76" s="46" t="n"/>
    </row>
    <row r="77" ht="30" customHeight="1" s="23">
      <c r="A77" s="45" t="inlineStr">
        <is>
          <t>3.</t>
        </is>
      </c>
      <c r="B77" s="46" t="inlineStr">
        <is>
          <t>Elizabeth Kannegaard is named to receive personal property and to hand-deliver the cello to the University of Miami, School of Music. Is she still living and able to serve in that role, and has she been contacted regarding delivery of the cello?</t>
        </is>
      </c>
      <c r="C77" s="46" t="n"/>
      <c r="D77" s="46" t="n"/>
      <c r="E77" s="46" t="n"/>
    </row>
    <row r="78" ht="30" customHeight="1" s="23">
      <c r="A78" s="45" t="inlineStr">
        <is>
          <t>4.</t>
        </is>
      </c>
      <c r="B78" s="46" t="inlineStr">
        <is>
          <t>The gift to the University of Miami, Frost School of Music, is restricted to the 'Student Scholarship Fund.' Does the University have an existing fund by that name, or does a new restricted fund need to be established to receive this gift?</t>
        </is>
      </c>
      <c r="C78" s="46" t="n"/>
      <c r="D78" s="46" t="n"/>
      <c r="E78" s="46" t="n"/>
    </row>
    <row r="79" ht="30" customHeight="1" s="23">
      <c r="A79" s="45" t="inlineStr">
        <is>
          <t>5.</t>
        </is>
      </c>
      <c r="B79" s="46" t="n"/>
      <c r="C79" s="46" t="n"/>
      <c r="D79" s="46" t="inlineStr">
        <is>
          <t>Not in this document</t>
        </is>
      </c>
      <c r="E79" s="46" t="n"/>
    </row>
    <row r="80" ht="19.5" customHeight="1" s="23">
      <c r="A80" s="45" t="inlineStr">
        <is>
          <t>6.</t>
        </is>
      </c>
      <c r="B80" s="46" t="n"/>
      <c r="C80" s="46" t="n"/>
      <c r="D80" s="46" t="n"/>
      <c r="E80" s="46" t="n"/>
    </row>
    <row r="81" ht="30" customHeight="1" s="23">
      <c r="A81" s="45" t="inlineStr">
        <is>
          <t>7.</t>
        </is>
      </c>
      <c r="B81" s="46" t="n"/>
      <c r="C81" s="46" t="n"/>
      <c r="D81" s="46" t="n"/>
      <c r="E81" s="46" t="n"/>
    </row>
    <row r="82" ht="30" customHeight="1" s="23">
      <c r="A82" s="42" t="inlineStr">
        <is>
          <t>9 · FEEDBACK ON THIS TEMPLATE</t>
        </is>
      </c>
      <c r="B82" s="43" t="inlineStr">
        <is>
          <t>What was missing, what should be split, renamed, added or dropped.</t>
        </is>
      </c>
      <c r="C82" s="44" t="n"/>
      <c r="D82" s="44" t="n"/>
      <c r="E82" s="44" t="n"/>
    </row>
    <row r="83" ht="30" customHeight="1" s="23">
      <c r="A83" s="45" t="inlineStr">
        <is>
          <t>1.</t>
        </is>
      </c>
      <c r="B83" s="46" t="n"/>
      <c r="C83" s="46" t="n"/>
      <c r="D83" s="46" t="n"/>
      <c r="E83" s="46" t="n"/>
    </row>
    <row r="84" ht="30" customHeight="1" s="23">
      <c r="A84" s="45" t="inlineStr">
        <is>
          <t>2.</t>
        </is>
      </c>
      <c r="B84" s="46" t="n"/>
      <c r="C84" s="46" t="n"/>
      <c r="D84" s="46" t="n"/>
      <c r="E84" s="46" t="n"/>
    </row>
    <row r="85" ht="30" customHeight="1" s="23">
      <c r="A85" s="45" t="inlineStr">
        <is>
          <t>3.</t>
        </is>
      </c>
      <c r="B85" s="46" t="n"/>
      <c r="C85" s="46" t="n"/>
      <c r="D85" s="46" t="n"/>
      <c r="E85" s="46" t="n"/>
    </row>
    <row r="86" ht="30" customHeight="1" s="23">
      <c r="A86" s="45" t="inlineStr">
        <is>
          <t>4.</t>
        </is>
      </c>
      <c r="B86" s="46" t="n"/>
      <c r="C86" s="46" t="n"/>
      <c r="D86" s="46" t="n"/>
      <c r="E86" s="46" t="n"/>
    </row>
    <row r="87" ht="30" customHeight="1" s="23">
      <c r="A87" s="45" t="inlineStr">
        <is>
          <t>5.</t>
        </is>
      </c>
      <c r="B87" s="46" t="n"/>
      <c r="C87" s="46" t="n"/>
      <c r="D87" s="46" t="n"/>
      <c r="E87" s="46" t="n"/>
    </row>
    <row r="88">
      <c r="A88" s="45" t="inlineStr">
        <is>
          <t>6.</t>
        </is>
      </c>
      <c r="B88" s="46" t="n"/>
      <c r="C88" s="46" t="n"/>
      <c r="D88" s="46" t="n"/>
      <c r="E88" s="46" t="n"/>
    </row>
    <row r="89">
      <c r="A89" s="45" t="inlineStr">
        <is>
          <t>7.</t>
        </is>
      </c>
      <c r="B89" s="46" t="n"/>
      <c r="C89" s="46" t="n"/>
      <c r="D89" s="46" t="n"/>
      <c r="E89" s="46" t="n"/>
    </row>
  </sheetData>
  <mergeCells count="4">
    <mergeCell ref="B7:E7"/>
    <mergeCell ref="B6:E6"/>
    <mergeCell ref="B5:E5"/>
    <mergeCell ref="B4:E4"/>
  </mergeCells>
  <dataValidations count="1">
    <dataValidation sqref="D13:D19 D21:D23 D25:D27 D29:D40 D42:D53" showDropDown="0" showInputMessage="0" showErrorMessage="0" allowBlank="1" promptTitle="Status" prompt="Pick one. Never guess to fill a blank." type="list" errorStyle="stop" operator="between">
      <formula1>"Found,Not in this document,Could not determine,Ambiguous — see note"</formula1>
      <formula2>0</formula2>
    </dataValidation>
  </dataValidations>
  <printOptions horizontalCentered="1" verticalCentered="0" headings="0" gridLines="0" gridLinesSet="1"/>
  <pageMargins left="0.4" right="0.4" top="0.5" bottom="0.5" header="0.511811023622047" footer="0.511811023622047"/>
  <pageSetup orientation="landscape" paperSize="1"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2026-08-25T18:47:41Z</dcterms:created>
  <dcterms:modified xsi:type="dcterms:W3CDTF">2026-09-21T00:13:16Z</dcterms:modified>
  <cp:revision>0</cp:revision>
</cp:coreProperties>
</file>